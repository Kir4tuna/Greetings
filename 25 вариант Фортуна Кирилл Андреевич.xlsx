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Андрей\OneDrive\Рабочий стол\Лабораторные работы\"/>
    </mc:Choice>
  </mc:AlternateContent>
  <xr:revisionPtr revIDLastSave="0" documentId="13_ncr:1_{474020F3-36BF-489C-8614-13C7447258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chart.v1.0" hidden="1">Лист3!$A$2</definedName>
    <definedName name="_xlchart.v1.1" hidden="1">Лист3!$A$2:$A$5</definedName>
    <definedName name="_xlchart.v1.10" hidden="1">Лист3!$B$5</definedName>
    <definedName name="_xlchart.v1.11" hidden="1">Лист3!$A$2:$A$5</definedName>
    <definedName name="_xlchart.v1.12" hidden="1">Лист3!$B$1</definedName>
    <definedName name="_xlchart.v1.13" hidden="1">Лист3!$B$2:$B$5</definedName>
    <definedName name="_xlchart.v1.14" hidden="1">Лист3!$A$2:$A$5</definedName>
    <definedName name="_xlchart.v1.15" hidden="1">Лист3!$B$1</definedName>
    <definedName name="_xlchart.v1.16" hidden="1">Лист3!$B$2:$B$5</definedName>
    <definedName name="_xlchart.v1.2" hidden="1">Лист3!$A$3</definedName>
    <definedName name="_xlchart.v1.3" hidden="1">Лист3!$A$4</definedName>
    <definedName name="_xlchart.v1.4" hidden="1">Лист3!$A$5</definedName>
    <definedName name="_xlchart.v1.5" hidden="1">Лист3!$B$1</definedName>
    <definedName name="_xlchart.v1.6" hidden="1">Лист3!$B$2</definedName>
    <definedName name="_xlchart.v1.7" hidden="1">Лист3!$B$2:$B$5</definedName>
    <definedName name="_xlchart.v1.8" hidden="1">Лист3!$B$3</definedName>
    <definedName name="_xlchart.v1.9" hidden="1">Лист3!$B$4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3" l="1"/>
  <c r="B4" i="3"/>
  <c r="B3" i="3"/>
  <c r="B2" i="3"/>
  <c r="I3" i="1"/>
  <c r="J3" i="1" s="1"/>
  <c r="I4" i="1"/>
  <c r="J4" i="1" s="1"/>
  <c r="I6" i="1"/>
  <c r="J6" i="1" s="1"/>
  <c r="I7" i="1"/>
  <c r="I8" i="1"/>
  <c r="I5" i="1"/>
  <c r="J8" i="1"/>
  <c r="J7" i="1"/>
  <c r="H3" i="1"/>
  <c r="H4" i="1"/>
  <c r="H5" i="1"/>
  <c r="H6" i="1"/>
  <c r="H7" i="1"/>
  <c r="H8" i="1"/>
  <c r="D3" i="2" l="1"/>
  <c r="C3" i="2"/>
  <c r="J5" i="1"/>
  <c r="B3" i="2"/>
</calcChain>
</file>

<file path=xl/sharedStrings.xml><?xml version="1.0" encoding="utf-8"?>
<sst xmlns="http://schemas.openxmlformats.org/spreadsheetml/2006/main" count="38" uniqueCount="30">
  <si>
    <t>Фамилия Имя Отчество</t>
  </si>
  <si>
    <t>Город рождения</t>
  </si>
  <si>
    <t>Информатика</t>
  </si>
  <si>
    <t>Линейная алгебра</t>
  </si>
  <si>
    <t>Культурология</t>
  </si>
  <si>
    <t>Психология</t>
  </si>
  <si>
    <t>Оценки по курсу</t>
  </si>
  <si>
    <t>Дата рождения</t>
  </si>
  <si>
    <t>н/я</t>
  </si>
  <si>
    <t>Санкт-Петербург</t>
  </si>
  <si>
    <t>Муранск</t>
  </si>
  <si>
    <t>Архангельск</t>
  </si>
  <si>
    <t>Калининград</t>
  </si>
  <si>
    <t>Иванов Иван Иванович</t>
  </si>
  <si>
    <t>Лапушкин Валерий Федорович</t>
  </si>
  <si>
    <t>Калиточкин Михаил Сергеевич</t>
  </si>
  <si>
    <t>Знаев Дмитрий Алексеевич</t>
  </si>
  <si>
    <t>Валюшин Роман Капитонович</t>
  </si>
  <si>
    <t>Завитушкин Владимир Ильич</t>
  </si>
  <si>
    <t>Возраст</t>
  </si>
  <si>
    <t>&lt;4</t>
  </si>
  <si>
    <t>4-5</t>
  </si>
  <si>
    <t>5</t>
  </si>
  <si>
    <t>Количество учащихся</t>
  </si>
  <si>
    <t>Средний балл</t>
  </si>
  <si>
    <t>Распределение среднего балла</t>
  </si>
  <si>
    <t>Средний балл по предмету</t>
  </si>
  <si>
    <t>Предмет</t>
  </si>
  <si>
    <t>Средний балл по коэффиценту</t>
  </si>
  <si>
    <t>Коэффицент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</si>
</sst>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i/>
      <sz val="12"/>
      <color theme="1"/>
      <name val="Courier New"/>
      <family val="3"/>
      <charset val="204"/>
    </font>
    <font>
      <sz val="10"/>
      <color theme="1"/>
      <name val="Century Gothic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3" xfId="0" applyFont="1" applyBorder="1"/>
    <xf numFmtId="164" fontId="0" fillId="0" borderId="0" xfId="0" applyNumberFormat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wrapText="1"/>
    </xf>
    <xf numFmtId="49" fontId="2" fillId="0" borderId="4" xfId="0" applyNumberFormat="1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left"/>
    </xf>
    <xf numFmtId="0" fontId="1" fillId="0" borderId="4" xfId="0" applyFont="1" applyBorder="1"/>
    <xf numFmtId="0" fontId="2" fillId="0" borderId="4" xfId="0" applyFont="1" applyBorder="1" applyAlignment="1">
      <alignment horizontal="left" vertical="center" wrapText="1"/>
    </xf>
    <xf numFmtId="14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2" fontId="2" fillId="0" borderId="4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164" fontId="2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Расперделение</a:t>
            </a:r>
            <a:r>
              <a:rPr lang="ru-RU" baseline="0"/>
              <a:t> среднего балла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Лист2!$A$3</c:f>
              <c:strCache>
                <c:ptCount val="1"/>
                <c:pt idx="0">
                  <c:v>Количество учащихся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Лист2!$B$1:$D$2</c:f>
              <c:strCache>
                <c:ptCount val="3"/>
                <c:pt idx="0">
                  <c:v>5</c:v>
                </c:pt>
                <c:pt idx="1">
                  <c:v>4-5</c:v>
                </c:pt>
                <c:pt idx="2">
                  <c:v>&lt;4</c:v>
                </c:pt>
              </c:strCache>
            </c:strRef>
          </c:cat>
          <c:val>
            <c:numRef>
              <c:f>Лист2!$B$3:$D$3</c:f>
              <c:numCache>
                <c:formatCode>0.0</c:formatCode>
                <c:ptCount val="3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A-498E-B1EC-66760F7E7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</a:t>
            </a:r>
            <a:r>
              <a:rPr lang="ru-RU" baseline="0"/>
              <a:t> балл по предмету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Лист3!$A$2:$A$5</c:f>
              <c:strCache>
                <c:ptCount val="4"/>
                <c:pt idx="0">
                  <c:v>Информатика</c:v>
                </c:pt>
                <c:pt idx="1">
                  <c:v>Линейная алгебра</c:v>
                </c:pt>
                <c:pt idx="2">
                  <c:v>Культурология</c:v>
                </c:pt>
                <c:pt idx="3">
                  <c:v>Психология</c:v>
                </c:pt>
              </c:strCache>
            </c:strRef>
          </c:cat>
          <c:val>
            <c:numRef>
              <c:f>Лист3!$B$2:$B$5</c:f>
              <c:numCache>
                <c:formatCode>0.0</c:formatCode>
                <c:ptCount val="4"/>
                <c:pt idx="0">
                  <c:v>4.2</c:v>
                </c:pt>
                <c:pt idx="1">
                  <c:v>4</c:v>
                </c:pt>
                <c:pt idx="2">
                  <c:v>4</c:v>
                </c:pt>
                <c:pt idx="3">
                  <c:v>4.333333333333333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1-46E9-AE23-8A1DDD50C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5242992"/>
        <c:axId val="705239752"/>
      </c:barChart>
      <c:catAx>
        <c:axId val="70524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5239752"/>
        <c:crosses val="autoZero"/>
        <c:auto val="1"/>
        <c:lblAlgn val="ctr"/>
        <c:lblOffset val="100"/>
        <c:noMultiLvlLbl val="0"/>
      </c:catAx>
      <c:valAx>
        <c:axId val="70523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524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99785</xdr:colOff>
      <xdr:row>0</xdr:row>
      <xdr:rowOff>164495</xdr:rowOff>
    </xdr:from>
    <xdr:to>
      <xdr:col>11</xdr:col>
      <xdr:colOff>396118</xdr:colOff>
      <xdr:row>13</xdr:row>
      <xdr:rowOff>29028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F5C6443-6EB6-B8CD-B24B-FBE187DC0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0</xdr:row>
      <xdr:rowOff>0</xdr:rowOff>
    </xdr:from>
    <xdr:to>
      <xdr:col>9</xdr:col>
      <xdr:colOff>574387</xdr:colOff>
      <xdr:row>10</xdr:row>
      <xdr:rowOff>168564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3C6BAF5-1B41-DB9E-E68B-B439FACC0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="127" workbookViewId="0">
      <pane ySplit="2" topLeftCell="A3" activePane="bottomLeft" state="frozen"/>
      <selection pane="bottomLeft" activeCell="H8" sqref="H8"/>
    </sheetView>
  </sheetViews>
  <sheetFormatPr defaultRowHeight="14.4" x14ac:dyDescent="0.3"/>
  <cols>
    <col min="1" max="1" width="14.5546875" customWidth="1"/>
    <col min="2" max="2" width="13.88671875" customWidth="1"/>
    <col min="3" max="3" width="12.109375" customWidth="1"/>
    <col min="4" max="4" width="16.44140625" bestFit="1" customWidth="1"/>
    <col min="5" max="5" width="11.88671875" customWidth="1"/>
    <col min="6" max="6" width="19.21875" bestFit="1" customWidth="1"/>
    <col min="7" max="7" width="14.44140625" customWidth="1"/>
    <col min="8" max="8" width="10.21875" bestFit="1" customWidth="1"/>
    <col min="9" max="9" width="10.6640625" customWidth="1"/>
    <col min="10" max="10" width="16.109375" customWidth="1"/>
    <col min="11" max="11" width="14.33203125" customWidth="1"/>
  </cols>
  <sheetData>
    <row r="1" spans="1:16" ht="19.8" customHeight="1" x14ac:dyDescent="0.35">
      <c r="A1" s="13" t="s">
        <v>0</v>
      </c>
      <c r="B1" s="13" t="s">
        <v>1</v>
      </c>
      <c r="C1" s="13" t="s">
        <v>7</v>
      </c>
      <c r="D1" s="14" t="s">
        <v>6</v>
      </c>
      <c r="E1" s="14"/>
      <c r="F1" s="14"/>
      <c r="G1" s="14"/>
      <c r="H1" s="15" t="s">
        <v>19</v>
      </c>
      <c r="I1" s="16" t="s">
        <v>24</v>
      </c>
      <c r="J1" s="16" t="s">
        <v>28</v>
      </c>
      <c r="K1" s="17" t="s">
        <v>29</v>
      </c>
      <c r="L1" s="26"/>
      <c r="M1" s="2"/>
      <c r="N1" s="3"/>
    </row>
    <row r="2" spans="1:16" ht="34.799999999999997" customHeight="1" x14ac:dyDescent="0.35">
      <c r="A2" s="13"/>
      <c r="B2" s="13"/>
      <c r="C2" s="13"/>
      <c r="D2" s="18" t="s">
        <v>2</v>
      </c>
      <c r="E2" s="9" t="s">
        <v>3</v>
      </c>
      <c r="F2" s="18" t="s">
        <v>4</v>
      </c>
      <c r="G2" s="18" t="s">
        <v>5</v>
      </c>
      <c r="H2" s="15"/>
      <c r="I2" s="16"/>
      <c r="J2" s="16"/>
      <c r="K2" s="22">
        <v>2.4</v>
      </c>
      <c r="L2" s="24"/>
    </row>
    <row r="3" spans="1:16" ht="26.4" x14ac:dyDescent="0.3">
      <c r="A3" s="19" t="s">
        <v>13</v>
      </c>
      <c r="B3" s="19" t="s">
        <v>9</v>
      </c>
      <c r="C3" s="20">
        <v>39345</v>
      </c>
      <c r="D3" s="21">
        <v>5</v>
      </c>
      <c r="E3" s="21">
        <v>3</v>
      </c>
      <c r="F3" s="21">
        <v>4</v>
      </c>
      <c r="G3" s="21">
        <v>4</v>
      </c>
      <c r="H3" s="21">
        <f ca="1">(YEAR(NOW())-YEAR(C3))</f>
        <v>18</v>
      </c>
      <c r="I3" s="22">
        <f t="shared" ref="I3:I4" si="0">SUM(D3:G3) / (4 - COUNTIF(D3:G3,"н/я"))</f>
        <v>4</v>
      </c>
      <c r="J3" s="22">
        <f>I3*$K$2</f>
        <v>9.6</v>
      </c>
      <c r="L3" s="27"/>
    </row>
    <row r="4" spans="1:16" ht="39.6" x14ac:dyDescent="0.3">
      <c r="A4" s="19" t="s">
        <v>14</v>
      </c>
      <c r="B4" s="19" t="s">
        <v>9</v>
      </c>
      <c r="C4" s="20">
        <v>38944</v>
      </c>
      <c r="D4" s="21">
        <v>4</v>
      </c>
      <c r="E4" s="21">
        <v>4</v>
      </c>
      <c r="F4" s="21">
        <v>4</v>
      </c>
      <c r="G4" s="21">
        <v>4</v>
      </c>
      <c r="H4" s="21">
        <f ca="1">(YEAR(NOW())-YEAR(C4))</f>
        <v>19</v>
      </c>
      <c r="I4" s="22">
        <f t="shared" si="0"/>
        <v>4</v>
      </c>
      <c r="J4" s="22">
        <f>I4*$K$2</f>
        <v>9.6</v>
      </c>
      <c r="L4" s="27"/>
      <c r="N4" s="7"/>
      <c r="P4" s="7"/>
    </row>
    <row r="5" spans="1:16" ht="39.6" x14ac:dyDescent="0.3">
      <c r="A5" s="19" t="s">
        <v>15</v>
      </c>
      <c r="B5" s="19" t="s">
        <v>10</v>
      </c>
      <c r="C5" s="20">
        <v>38052</v>
      </c>
      <c r="D5" s="21" t="s">
        <v>8</v>
      </c>
      <c r="E5" s="21">
        <v>3</v>
      </c>
      <c r="F5" s="21">
        <v>4</v>
      </c>
      <c r="G5" s="21">
        <v>4</v>
      </c>
      <c r="H5" s="21">
        <f ca="1">(YEAR(NOW())-YEAR(C5))</f>
        <v>21</v>
      </c>
      <c r="I5" s="22">
        <f>SUM(D5:G5) / (4 - COUNTIF(D5:G5,"н/я"))</f>
        <v>3.6666666666666665</v>
      </c>
      <c r="J5" s="22">
        <f>I5*$K$2</f>
        <v>8.7999999999999989</v>
      </c>
      <c r="L5" s="27"/>
      <c r="N5" s="7"/>
    </row>
    <row r="6" spans="1:16" ht="39.6" x14ac:dyDescent="0.3">
      <c r="A6" s="19" t="s">
        <v>16</v>
      </c>
      <c r="B6" s="19" t="s">
        <v>11</v>
      </c>
      <c r="C6" s="20">
        <v>39075</v>
      </c>
      <c r="D6" s="21">
        <v>5</v>
      </c>
      <c r="E6" s="21">
        <v>5</v>
      </c>
      <c r="F6" s="21">
        <v>5</v>
      </c>
      <c r="G6" s="21">
        <v>5</v>
      </c>
      <c r="H6" s="21">
        <f ca="1">(YEAR(NOW())-YEAR(C6))</f>
        <v>19</v>
      </c>
      <c r="I6" s="22">
        <f t="shared" ref="I6:I8" si="1">SUM(D6:G6) / (4 - COUNTIF(D6:G6,"н/я"))</f>
        <v>5</v>
      </c>
      <c r="J6" s="22">
        <f>I6*$K$2</f>
        <v>12</v>
      </c>
      <c r="L6" s="27"/>
    </row>
    <row r="7" spans="1:16" ht="39.6" x14ac:dyDescent="0.3">
      <c r="A7" s="19" t="s">
        <v>17</v>
      </c>
      <c r="B7" s="19" t="s">
        <v>12</v>
      </c>
      <c r="C7" s="20">
        <v>39124</v>
      </c>
      <c r="D7" s="21">
        <v>3</v>
      </c>
      <c r="E7" s="21" t="s">
        <v>8</v>
      </c>
      <c r="F7" s="21">
        <v>4</v>
      </c>
      <c r="G7" s="21">
        <v>4</v>
      </c>
      <c r="H7" s="21">
        <f ca="1">(YEAR(NOW())-YEAR(C7))</f>
        <v>18</v>
      </c>
      <c r="I7" s="22">
        <f t="shared" si="1"/>
        <v>3.6666666666666665</v>
      </c>
      <c r="J7" s="22">
        <f>I7*$K$2</f>
        <v>8.7999999999999989</v>
      </c>
      <c r="L7" s="27"/>
    </row>
    <row r="8" spans="1:16" ht="39.6" x14ac:dyDescent="0.3">
      <c r="A8" s="19" t="s">
        <v>18</v>
      </c>
      <c r="B8" s="19" t="s">
        <v>9</v>
      </c>
      <c r="C8" s="20">
        <v>38977</v>
      </c>
      <c r="D8" s="21">
        <v>4</v>
      </c>
      <c r="E8" s="21">
        <v>5</v>
      </c>
      <c r="F8" s="21">
        <v>3</v>
      </c>
      <c r="G8" s="21">
        <v>5</v>
      </c>
      <c r="H8" s="21">
        <f ca="1">(YEAR(NOW())-YEAR(C8))</f>
        <v>19</v>
      </c>
      <c r="I8" s="22">
        <f t="shared" si="1"/>
        <v>4.25</v>
      </c>
      <c r="J8" s="22">
        <f>I8*$K$2</f>
        <v>10.199999999999999</v>
      </c>
      <c r="L8" s="27"/>
    </row>
    <row r="9" spans="1:16" x14ac:dyDescent="0.3">
      <c r="A9" s="1"/>
      <c r="B9" s="1"/>
      <c r="D9" s="7"/>
      <c r="E9" s="7"/>
      <c r="F9" s="7"/>
      <c r="G9" s="7"/>
    </row>
    <row r="10" spans="1:16" ht="16.2" x14ac:dyDescent="0.35">
      <c r="D10" s="4"/>
      <c r="E10" s="5"/>
      <c r="F10" s="4"/>
      <c r="G10" s="6"/>
    </row>
  </sheetData>
  <mergeCells count="7">
    <mergeCell ref="I1:I2"/>
    <mergeCell ref="J1:J2"/>
    <mergeCell ref="A1:A2"/>
    <mergeCell ref="B1:B2"/>
    <mergeCell ref="C1:C2"/>
    <mergeCell ref="D1:G1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9B40-C8B6-4FC2-B356-C6FBD97D9527}">
  <dimension ref="A1:D3"/>
  <sheetViews>
    <sheetView zoomScale="126" workbookViewId="0">
      <selection activeCell="C13" sqref="C13"/>
    </sheetView>
  </sheetViews>
  <sheetFormatPr defaultRowHeight="14.4" x14ac:dyDescent="0.3"/>
  <cols>
    <col min="1" max="1" width="14.33203125" customWidth="1"/>
    <col min="2" max="2" width="10.33203125" customWidth="1"/>
    <col min="3" max="3" width="8" customWidth="1"/>
    <col min="4" max="4" width="9.88671875" customWidth="1"/>
  </cols>
  <sheetData>
    <row r="1" spans="1:4" ht="16.2" x14ac:dyDescent="0.35">
      <c r="A1" s="8" t="s">
        <v>25</v>
      </c>
      <c r="B1" s="8"/>
      <c r="C1" s="8"/>
      <c r="D1" s="8"/>
    </row>
    <row r="2" spans="1:4" ht="32.4" x14ac:dyDescent="0.35">
      <c r="A2" s="12" t="s">
        <v>24</v>
      </c>
      <c r="B2" s="10" t="s">
        <v>22</v>
      </c>
      <c r="C2" s="10" t="s">
        <v>21</v>
      </c>
      <c r="D2" s="10" t="s">
        <v>20</v>
      </c>
    </row>
    <row r="3" spans="1:4" ht="35.4" customHeight="1" x14ac:dyDescent="0.35">
      <c r="A3" s="12" t="s">
        <v>23</v>
      </c>
      <c r="B3" s="11">
        <f>COUNTIF(Лист1!$I$3:$I$8,5)</f>
        <v>1</v>
      </c>
      <c r="C3" s="11">
        <f>COUNTIFS(Лист1!I3:I8,"&lt;5",Лист1!I3:I8,"&gt;=4")</f>
        <v>3</v>
      </c>
      <c r="D3" s="11">
        <f>COUNTIF(Лист1!$I$3:$I$8,"&lt;4")</f>
        <v>2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0266-FFD0-4272-9AED-FCC7C4AE1848}">
  <dimension ref="A1:F5"/>
  <sheetViews>
    <sheetView zoomScale="132" workbookViewId="0">
      <selection activeCell="B15" sqref="B15"/>
    </sheetView>
  </sheetViews>
  <sheetFormatPr defaultRowHeight="14.4" x14ac:dyDescent="0.3"/>
  <cols>
    <col min="1" max="1" width="18.44140625" customWidth="1"/>
    <col min="2" max="2" width="13.109375" customWidth="1"/>
  </cols>
  <sheetData>
    <row r="1" spans="1:6" ht="48.6" x14ac:dyDescent="0.35">
      <c r="A1" s="12" t="s">
        <v>27</v>
      </c>
      <c r="B1" s="12" t="s">
        <v>26</v>
      </c>
      <c r="C1" s="23"/>
      <c r="D1" s="23"/>
      <c r="E1" s="23"/>
      <c r="F1" s="24"/>
    </row>
    <row r="2" spans="1:6" ht="16.2" x14ac:dyDescent="0.35">
      <c r="A2" s="12" t="s">
        <v>2</v>
      </c>
      <c r="B2" s="11">
        <f>AVERAGE(Лист1!D3:D8)</f>
        <v>4.2</v>
      </c>
      <c r="C2" s="25"/>
      <c r="D2" s="25"/>
      <c r="E2" s="25"/>
      <c r="F2" s="24"/>
    </row>
    <row r="3" spans="1:6" ht="32.4" x14ac:dyDescent="0.35">
      <c r="A3" s="12" t="s">
        <v>3</v>
      </c>
      <c r="B3" s="11">
        <f>AVERAGE(Лист1!E3:E8)</f>
        <v>4</v>
      </c>
      <c r="C3" s="25"/>
      <c r="D3" s="25"/>
      <c r="E3" s="25"/>
      <c r="F3" s="24"/>
    </row>
    <row r="4" spans="1:6" ht="16.2" x14ac:dyDescent="0.35">
      <c r="A4" s="18" t="s">
        <v>4</v>
      </c>
      <c r="B4" s="11">
        <f>Лист1!F3:F8</f>
        <v>4</v>
      </c>
      <c r="C4" s="25"/>
      <c r="D4" s="25"/>
      <c r="E4" s="25"/>
      <c r="F4" s="24"/>
    </row>
    <row r="5" spans="1:6" ht="16.2" x14ac:dyDescent="0.35">
      <c r="A5" s="18" t="s">
        <v>5</v>
      </c>
      <c r="B5" s="11">
        <f>AVERAGE(Лист1!G3:G8)</f>
        <v>4.333333333333333</v>
      </c>
      <c r="C5" s="25"/>
      <c r="D5" s="25"/>
      <c r="E5" s="25"/>
      <c r="F5" s="2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</dc:creator>
  <cp:lastModifiedBy>Andrey Fortuna</cp:lastModifiedBy>
  <dcterms:created xsi:type="dcterms:W3CDTF">2015-06-05T18:19:34Z</dcterms:created>
  <dcterms:modified xsi:type="dcterms:W3CDTF">2025-10-01T13:31:33Z</dcterms:modified>
</cp:coreProperties>
</file>